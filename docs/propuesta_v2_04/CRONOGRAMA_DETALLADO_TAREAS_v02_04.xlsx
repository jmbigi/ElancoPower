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_DETALLADO_TAREAS_V2_" sheetId="1" state="visible" r:id="rId3"/>
    <sheet name="Totales" sheetId="2" state="visible" r:id="rId4"/>
  </sheet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<sst xmlns="http://schemas.openxmlformats.org/spreadsheetml/2006/main" count="109" uniqueCount="82">
  <si>
    <t xml:space="preserve">ID</t>
  </si>
  <si>
    <t xml:space="preserve">Fase</t>
  </si>
  <si>
    <t xml:space="preserve">Tarea</t>
  </si>
  <si>
    <t xml:space="preserve">Descripcion</t>
  </si>
  <si>
    <t xml:space="preserve">Depende_de</t>
  </si>
  <si>
    <t xml:space="preserve">Semana_Inicio</t>
  </si>
  <si>
    <t xml:space="preserve">Semana_Fin</t>
  </si>
  <si>
    <t xml:space="preserve">Duracion_Semanas</t>
  </si>
  <si>
    <t xml:space="preserve">Horas_Consultor_BI</t>
  </si>
  <si>
    <t xml:space="preserve">Horas_ABAP_Developer</t>
  </si>
  <si>
    <t xml:space="preserve">Horas_Funcional_SAP</t>
  </si>
  <si>
    <t xml:space="preserve">Horas_Project_Manager</t>
  </si>
  <si>
    <t xml:space="preserve">Total_Horas</t>
  </si>
  <si>
    <t xml:space="preserve">Nota_S4HANA</t>
  </si>
  <si>
    <t xml:space="preserve">Fase_0</t>
  </si>
  <si>
    <t xml:space="preserve">Diseño arquitectura preliminar</t>
  </si>
  <si>
    <t xml:space="preserve">Arquitectura BigQuery 3 capas + conectividad SAP SLT + definición preliminar tablas SAP</t>
  </si>
  <si>
    <t xml:space="preserve">Estimación esfuerzos ETL</t>
  </si>
  <si>
    <t xml:space="preserve">Análisis volumetría y complejidad 18 transacciones SAP + identificación tablas por módulo</t>
  </si>
  <si>
    <t xml:space="preserve">Kick-off y alineamiento</t>
  </si>
  <si>
    <t xml:space="preserve">Reunión inicial con todos los stakeholders + presentación plan</t>
  </si>
  <si>
    <t xml:space="preserve">Inventario técnico SAP y BigQuery</t>
  </si>
  <si>
    <t xml:space="preserve">Revisión dataset casa_bi BigQuery (Consultor BI) + análisis permisos SAP + tablas por módulo + SLT básico (ABAP Dev consultoría) + documentación</t>
  </si>
  <si>
    <t xml:space="preserve">Gestión de tickets críticos</t>
  </si>
  <si>
    <t xml:space="preserve">Revisión problemas detectados (permisos tablas faltantes seguimiento) - ABAP Dev apoya gestión SAP puntual</t>
  </si>
  <si>
    <t xml:space="preserve">Workshops y análisis Z</t>
  </si>
  <si>
    <t xml:space="preserve">Workshops priorización 18 transacciones + análisis profundo ZLEL008 y ZVEL015 (ABAP Dev análisis crítico) + definición tablas Z</t>
  </si>
  <si>
    <t xml:space="preserve">Diseño y POC</t>
  </si>
  <si>
    <t xml:space="preserve">Arquitectura 3 capas definitiva (Consultor BI) + POC técnico end-to-end + configuración SLT inicial (ABAP Dev) + validación funcional SAP</t>
  </si>
  <si>
    <t xml:space="preserve">6+7</t>
  </si>
  <si>
    <t xml:space="preserve">Documentación y Go/No-Go</t>
  </si>
  <si>
    <t xml:space="preserve">Documento arquitectura + backlog priorizado + listado completo tablas SAP + plan detallado + reunión Go/No-Go</t>
  </si>
  <si>
    <t xml:space="preserve">Fase_1</t>
  </si>
  <si>
    <t xml:space="preserve">Setup infraestructura completa</t>
  </si>
  <si>
    <t xml:space="preserve">Datasets BigQuery (Consultor BI) + configuración SAP SLT (ABAP Dev apoyo puntual) + conectores + service accounts + Cloud Functions + validación accesos</t>
  </si>
  <si>
    <t xml:space="preserve">Pipelines Módulo FI (4 trans)</t>
  </si>
  <si>
    <t xml:space="preserve">FAGLL03 + FB03 + F.08 + F.01 - ABAP Dev extrae datos SAP capa RAW + Consultor BI pipelines BigQuery - Tablas: ACDOCA ACDOCA_T BKPF SKA1 - desarrollo + validación + testing</t>
  </si>
  <si>
    <t xml:space="preserve">ACDOCA/ACDOCA_T sustituyen BSEG/FAGLFLEXA/BS**; listado clásico sólo referencial</t>
  </si>
  <si>
    <t xml:space="preserve">Pipelines Módulo SD (2 trans)</t>
  </si>
  <si>
    <t xml:space="preserve">VA05 + KE24 - ABAP Dev extrae RAW + Consultor BI transforma - Tablas: VBAK VBAP VBEP KNA1 CE1XXXX CE4XXXX - desarrollo + validación + testing</t>
  </si>
  <si>
    <t xml:space="preserve">Pipelines MM Procurement (3 trans)</t>
  </si>
  <si>
    <t xml:space="preserve">ME2L + ME23N + MM60 - ABAP Dev extrae RAW + Consultor BI transforma - Tablas: EKKO EKPO MBEW CKMLCR - desarrollo + validación + testing</t>
  </si>
  <si>
    <t xml:space="preserve">Pipelines MM Inventory (3 trans)</t>
  </si>
  <si>
    <t xml:space="preserve">MB59 + MB5B + MCHB - ABAP Dev extrae RAW + Consultor BI transforma - Tablas: MSEG MARD MCHB - desarrollo + validación + testing</t>
  </si>
  <si>
    <t xml:space="preserve">Pipeline ZLEL008 (custom MRP)</t>
  </si>
  <si>
    <t xml:space="preserve">ZLEL008 (custom MRP compleja) - ABAP Dev lidera análisis y extracción Z-tables + Consultor BI pipelines - análisis + desarrollo + validación funcional + testing extendido</t>
  </si>
  <si>
    <t xml:space="preserve">Pipelines CO y FI-AP/AR (4 trans)</t>
  </si>
  <si>
    <t xml:space="preserve">KSB1 + KE24 + FBL1N + FBL5N - ABAP Dev extrae RAW + Consultor BI transforma - Tablas: AUFK COBK ACDOCA - desarrollo + validación + testing</t>
  </si>
  <si>
    <t xml:space="preserve">ACDOCA sustituye COEP y vistas BSIK/BSAK vía universal journal</t>
  </si>
  <si>
    <t xml:space="preserve">Pipelines Master Data y ZVEL015</t>
  </si>
  <si>
    <t xml:space="preserve">XK03 + XD03 + ZVEL015 (pricing) - ABAP Dev extrae Z-pricing + Consultor BI transforma - Tablas: LFA1 LFB1 LFM1 KNA1 KNB1 KNVV - desarrollo + validación + testing</t>
  </si>
  <si>
    <t xml:space="preserve">Optimización y automatización</t>
  </si>
  <si>
    <t xml:space="preserve">Tuning queries (Consultor BI) + monitoreo SLT (ABAP Dev consultoría) + CI/CD + testing integral 18 transacciones + validación funcional SAP + documentación técnica</t>
  </si>
  <si>
    <t xml:space="preserve">11+12+13+14+15+16+17</t>
  </si>
  <si>
    <t xml:space="preserve">Fase_2</t>
  </si>
  <si>
    <t xml:space="preserve">Modelo dimensional completo</t>
  </si>
  <si>
    <t xml:space="preserve">Star schema: 8 dimensiones + 6 tablas hechos + vistas SQL + capa semántica + definición KPIs con SAP Functional - Consultor BI lidera</t>
  </si>
  <si>
    <t xml:space="preserve">Dashboards Financieros (3)</t>
  </si>
  <si>
    <t xml:space="preserve">Financiero General + OPEX + Controlling - Definición SAP Functional + desarrollo Consultor BI - Tablas: ACDOCA ACDOCA_T BKPF - 3 dashboards con RLS</t>
  </si>
  <si>
    <t xml:space="preserve">Modelo se basa en ACDOCA; tablas clásicas no se replican</t>
  </si>
  <si>
    <t xml:space="preserve">Dashboards Ventas y Rentabilidad (3)</t>
  </si>
  <si>
    <t xml:space="preserve">Ventas + Rentabilidad + Regional - Definición SAP Functional + desarrollo Consultor BI - Tablas: VBAK VBAP CE1XXXX - 3 dashboards con RLS</t>
  </si>
  <si>
    <t xml:space="preserve">Dashboards Supply Chain (3)</t>
  </si>
  <si>
    <t xml:space="preserve">Inventario + Supply Chain + Compras - Definición SAP Functional + desarrollo Consultor BI - Tablas: MARD MCHB MSEG EKKO EKPO - 3 dashboards con RLS</t>
  </si>
  <si>
    <t xml:space="preserve">Dashboards Tesorería y Ejecutivo (3)</t>
  </si>
  <si>
    <t xml:space="preserve">CxP + CxC + Dashboard Ejecutivo - Definición SAP Functional + desarrollo Consultor BI - Tablas: ACDOCA + consolidado - 3 dashboards con RLS</t>
  </si>
  <si>
    <t xml:space="preserve">20+21+22</t>
  </si>
  <si>
    <t xml:space="preserve">BS** vistas sustituidas por ACDOCA; no replicadas salvo compatibilidad</t>
  </si>
  <si>
    <t xml:space="preserve">Testing y UAT completo</t>
  </si>
  <si>
    <t xml:space="preserve">Testing integrado + coordinación SAP Functional + 4 fases UAT (Financiero + Comercial + Supply + Ejecutivo) + ajustes post-UAT</t>
  </si>
  <si>
    <t xml:space="preserve">Ajustes finales documentación capacitación y Go-Live</t>
  </si>
  <si>
    <t xml:space="preserve">Documentación funcional con SAP Functional + capacitación usuarios + preparación + Go-Live + cierre proyecto</t>
  </si>
  <si>
    <t xml:space="preserve">Data</t>
  </si>
  <si>
    <t xml:space="preserve">Min - Semana_Inicio</t>
  </si>
  <si>
    <t xml:space="preserve">Max - Semana_Fin</t>
  </si>
  <si>
    <t xml:space="preserve">Sum - Horas_Consultor_BI</t>
  </si>
  <si>
    <t xml:space="preserve">Sum - Horas_ABAP_Developer</t>
  </si>
  <si>
    <t xml:space="preserve">Sum - Horas_Funcional_SAP</t>
  </si>
  <si>
    <t xml:space="preserve">Sum - Horas_Project_Manager</t>
  </si>
  <si>
    <t xml:space="preserve">Sum - Total_Horas</t>
  </si>
  <si>
    <t xml:space="preserve">Total Result</t>
  </si>
  <si>
    <t xml:space="preserve">Duración Semanas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</si>
</sst>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 createdVersion="3">
  <cacheSource type="worksheet">
    <worksheetSource ref="A1:N25" sheet="CRONOGRAMA_DETALLADO_TAREAS_V2_"/>
  </cacheSource>
  <cacheFields count="14">
    <cacheField name="ID" numFmtId="0">
      <sharedItems containsSemiMixedTypes="0" containsString="0" containsNumber="1" containsInteger="1" minValue="1" maxValue="25" count="24">
        <n v="1"/>
        <n v="2"/>
        <n v="3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</sharedItems>
    </cacheField>
    <cacheField name="Fase" numFmtId="0">
      <sharedItems count="3">
        <s v="Fase_0"/>
        <s v="Fase_1"/>
        <s v="Fase_2"/>
      </sharedItems>
    </cacheField>
    <cacheField name="Tarea" numFmtId="0">
      <sharedItems count="24">
        <s v="Ajustes finales documentación capacitación y Go-Live"/>
        <s v="Dashboards Financieros (3)"/>
        <s v="Dashboards Supply Chain (3)"/>
        <s v="Dashboards Tesorería y Ejecutivo (3)"/>
        <s v="Dashboards Ventas y Rentabilidad (3)"/>
        <s v="Diseño arquitectura preliminar"/>
        <s v="Diseño y POC"/>
        <s v="Documentación y Go/No-Go"/>
        <s v="Estimación esfuerzos ETL"/>
        <s v="Gestión de tickets críticos"/>
        <s v="Inventario técnico SAP y BigQuery"/>
        <s v="Kick-off y alineamiento"/>
        <s v="Modelo dimensional completo"/>
        <s v="Optimización y automatización"/>
        <s v="Pipeline ZLEL008 (custom MRP)"/>
        <s v="Pipelines CO y FI-AP/AR (4 trans)"/>
        <s v="Pipelines Master Data y ZVEL015"/>
        <s v="Pipelines MM Inventory (3 trans)"/>
        <s v="Pipelines MM Procurement (3 trans)"/>
        <s v="Pipelines Módulo FI (4 trans)"/>
        <s v="Pipelines Módulo SD (2 trans)"/>
        <s v="Setup infraestructura completa"/>
        <s v="Testing y UAT completo"/>
        <s v="Workshops y análisis Z"/>
      </sharedItems>
    </cacheField>
    <cacheField name="Descripcion" numFmtId="0">
      <sharedItems count="24">
        <s v="Análisis volumetría y complejidad 18 transacciones SAP + identificación tablas por módulo"/>
        <s v="Arquitectura 3 capas definitiva (Consultor BI) + POC técnico end-to-end + configuración SLT inicial (ABAP Dev) + validación funcional SAP"/>
        <s v="Arquitectura BigQuery 3 capas + conectividad SAP SLT + definición preliminar tablas SAP"/>
        <s v="CxP + CxC + Dashboard Ejecutivo - Definición SAP Functional + desarrollo Consultor BI - Tablas: ACDOCA + consolidado - 3 dashboards con RLS"/>
        <s v="Datasets BigQuery (Consultor BI) + configuración SAP SLT (ABAP Dev apoyo puntual) + conectores + service accounts + Cloud Functions + validación accesos"/>
        <s v="Documentación funcional con SAP Functional + capacitación usuarios + preparación + Go-Live + cierre proyecto"/>
        <s v="Documento arquitectura + backlog priorizado + listado completo tablas SAP + plan detallado + reunión Go/No-Go"/>
        <s v="FAGLL03 + FB03 + F.08 + F.01 - ABAP Dev extrae datos SAP capa RAW + Consultor BI pipelines BigQuery - Tablas: ACDOCA ACDOCA_T BKPF SKA1 - desarrollo + validación + testing"/>
        <s v="Financiero General + OPEX + Controlling - Definición SAP Functional + desarrollo Consultor BI - Tablas: ACDOCA ACDOCA_T BKPF - 3 dashboards con RLS"/>
        <s v="Inventario + Supply Chain + Compras - Definición SAP Functional + desarrollo Consultor BI - Tablas: MARD MCHB MSEG EKKO EKPO - 3 dashboards con RLS"/>
        <s v="KSB1 + KE24 + FBL1N + FBL5N - ABAP Dev extrae RAW + Consultor BI transforma - Tablas: AUFK COBK ACDOCA - desarrollo + validación + testing"/>
        <s v="MB59 + MB5B + MCHB - ABAP Dev extrae RAW + Consultor BI transforma - Tablas: MSEG MARD MCHB - desarrollo + validación + testing"/>
        <s v="ME2L + ME23N + MM60 - ABAP Dev extrae RAW + Consultor BI transforma - Tablas: EKKO EKPO MBEW CKMLCR - desarrollo + validación + testing"/>
        <s v="Reunión inicial con todos los stakeholders + presentación plan"/>
        <s v="Revisión dataset casa_bi BigQuery (Consultor BI) + análisis permisos SAP + tablas por módulo + SLT básico (ABAP Dev consultoría) + documentación"/>
        <s v="Revisión problemas detectados (permisos tablas faltantes seguimiento) - ABAP Dev apoya gestión SAP puntual"/>
        <s v="Star schema: 8 dimensiones + 6 tablas hechos + vistas SQL + capa semántica + definición KPIs con SAP Functional - Consultor BI lidera"/>
        <s v="Testing integrado + coordinación SAP Functional + 4 fases UAT (Financiero + Comercial + Supply + Ejecutivo) + ajustes post-UAT"/>
        <s v="Tuning queries (Consultor BI) + monitoreo SLT (ABAP Dev consultoría) + CI/CD + testing integral 18 transacciones + validación funcional SAP + documentación técnica"/>
        <s v="VA05 + KE24 - ABAP Dev extrae RAW + Consultor BI transforma - Tablas: VBAK VBAP VBEP KNA1 CE1XXXX CE4XXXX - desarrollo + validación + testing"/>
        <s v="Ventas + Rentabilidad + Regional - Definición SAP Functional + desarrollo Consultor BI - Tablas: VBAK VBAP CE1XXXX - 3 dashboards con RLS"/>
        <s v="Workshops priorización 18 transacciones + análisis profundo ZLEL008 y ZVEL015 (ABAP Dev análisis crítico) + definición tablas Z"/>
        <s v="XK03 + XD03 + ZVEL015 (pricing) - ABAP Dev extrae Z-pricing + Consultor BI transforma - Tablas: LFA1 LFB1 LFM1 KNA1 KNB1 KNVV - desarrollo + validación + testing"/>
        <s v="ZLEL008 (custom MRP compleja) - ABAP Dev lidera análisis y extracción Z-tables + Consultor BI pipelines - análisis + desarrollo + validación funcional + testing extendido"/>
      </sharedItems>
    </cacheField>
    <cacheField name="Depende_de" numFmtId="0">
      <sharedItems containsBlank="1" containsMixedTypes="1" containsNumber="1" containsInteger="1" minValue="2" maxValue="24" count="18">
        <n v="2"/>
        <n v="3"/>
        <n v="5"/>
        <n v="8"/>
        <n v="9"/>
        <n v="10"/>
        <n v="12"/>
        <n v="13"/>
        <n v="14"/>
        <n v="15"/>
        <n v="18"/>
        <n v="19"/>
        <n v="23"/>
        <n v="24"/>
        <s v="11+12+13+14+15+16+17"/>
        <s v="20+21+22"/>
        <s v="6+7"/>
        <m/>
      </sharedItems>
    </cacheField>
    <cacheField name="Semana_Inicio" numFmtId="0">
      <sharedItems containsSemiMixedTypes="0" containsString="0" containsNumber="1" containsInteger="1" minValue="0" maxValue="35" count="18">
        <n v="0"/>
        <n v="1"/>
        <n v="3"/>
        <n v="5"/>
        <n v="6"/>
        <n v="8"/>
        <n v="11"/>
        <n v="13"/>
        <n v="15"/>
        <n v="17"/>
        <n v="20"/>
        <n v="22"/>
        <n v="24"/>
        <n v="26"/>
        <n v="28"/>
        <n v="30"/>
        <n v="32"/>
        <n v="35"/>
      </sharedItems>
    </cacheField>
    <cacheField name="Semana_Fin" numFmtId="0">
      <sharedItems containsSemiMixedTypes="0" containsString="0" containsNumber="1" containsInteger="1" minValue="0" maxValue="36" count="20">
        <n v="0"/>
        <n v="1"/>
        <n v="3"/>
        <n v="4"/>
        <n v="5"/>
        <n v="6"/>
        <n v="8"/>
        <n v="11"/>
        <n v="13"/>
        <n v="15"/>
        <n v="17"/>
        <n v="20"/>
        <n v="22"/>
        <n v="24"/>
        <n v="26"/>
        <n v="28"/>
        <n v="30"/>
        <n v="32"/>
        <n v="35"/>
        <n v="36"/>
      </sharedItems>
    </cacheField>
    <cacheField name="Duracion_Semanas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Horas_Consultor_BI" numFmtId="0">
      <sharedItems containsSemiMixedTypes="0" containsString="0" containsNumber="1" containsInteger="1" minValue="4" maxValue="88" count="19">
        <n v="4"/>
        <n v="8"/>
        <n v="10"/>
        <n v="14"/>
        <n v="24"/>
        <n v="28"/>
        <n v="36"/>
        <n v="38"/>
        <n v="40"/>
        <n v="42"/>
        <n v="45"/>
        <n v="48"/>
        <n v="50"/>
        <n v="52"/>
        <n v="64"/>
        <n v="66"/>
        <n v="68"/>
        <n v="70"/>
        <n v="88"/>
      </sharedItems>
    </cacheField>
    <cacheField name="Horas_ABAP_Developer" numFmtId="0">
      <sharedItems containsSemiMixedTypes="0" containsString="0" containsNumber="1" containsInteger="1" minValue="0" maxValue="32" count="8">
        <n v="0"/>
        <n v="12"/>
        <n v="16"/>
        <n v="18"/>
        <n v="20"/>
        <n v="24"/>
        <n v="28"/>
        <n v="32"/>
      </sharedItems>
    </cacheField>
    <cacheField name="Horas_Funcional_SAP" numFmtId="0">
      <sharedItems containsSemiMixedTypes="0" containsString="0" containsNumber="1" containsInteger="1" minValue="6" maxValue="58" count="14">
        <n v="6"/>
        <n v="8"/>
        <n v="12"/>
        <n v="14"/>
        <n v="16"/>
        <n v="20"/>
        <n v="22"/>
        <n v="24"/>
        <n v="26"/>
        <n v="28"/>
        <n v="30"/>
        <n v="34"/>
        <n v="38"/>
        <n v="58"/>
      </sharedItems>
    </cacheField>
    <cacheField name="Horas_Project_Manager" numFmtId="0">
      <sharedItems containsSemiMixedTypes="0" containsString="0" containsNumber="1" containsInteger="1" minValue="0" maxValue="28" count="8">
        <n v="0"/>
        <n v="4"/>
        <n v="5"/>
        <n v="6"/>
        <n v="8"/>
        <n v="10"/>
        <n v="22"/>
        <n v="28"/>
      </sharedItems>
    </cacheField>
    <cacheField name="Total_Horas" numFmtId="0">
      <sharedItems containsSemiMixedTypes="0" containsString="0" containsNumber="1" containsInteger="1" minValue="14" maxValue="131" count="23">
        <n v="14"/>
        <n v="18"/>
        <n v="28"/>
        <n v="48"/>
        <n v="60"/>
        <n v="64"/>
        <n v="78"/>
        <n v="80"/>
        <n v="82"/>
        <n v="83"/>
        <n v="84"/>
        <n v="87"/>
        <n v="88"/>
        <n v="91"/>
        <n v="92"/>
        <n v="96"/>
        <n v="98"/>
        <n v="102"/>
        <n v="104"/>
        <n v="108"/>
        <n v="110"/>
        <n v="120"/>
        <n v="131"/>
      </sharedItems>
    </cacheField>
    <cacheField name="Nota_S4HANA" numFmtId="0">
      <sharedItems containsBlank="1" count="5">
        <s v="ACDOCA sustituye COEP y vistas BSIK/BSAK vía universal journal"/>
        <s v="ACDOCA/ACDOCA_T sustituyen BSEG/FAGLFLEXA/BS**; listado clásico sólo referencial"/>
        <s v="BS** vistas sustituidas por ACDOCA; no replicadas salvo compatibilidad"/>
        <s v="Modelo se basa en ACDOCA; tablas clásicas no se replican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5"/>
    <x v="2"/>
    <x v="17"/>
    <x v="0"/>
    <x v="0"/>
    <x v="0"/>
    <x v="1"/>
    <x v="0"/>
    <x v="0"/>
    <x v="0"/>
    <x v="0"/>
    <x v="4"/>
  </r>
  <r>
    <x v="1"/>
    <x v="0"/>
    <x v="8"/>
    <x v="0"/>
    <x v="17"/>
    <x v="0"/>
    <x v="0"/>
    <x v="0"/>
    <x v="2"/>
    <x v="0"/>
    <x v="1"/>
    <x v="0"/>
    <x v="1"/>
    <x v="4"/>
  </r>
  <r>
    <x v="2"/>
    <x v="0"/>
    <x v="11"/>
    <x v="13"/>
    <x v="0"/>
    <x v="1"/>
    <x v="1"/>
    <x v="0"/>
    <x v="0"/>
    <x v="0"/>
    <x v="0"/>
    <x v="1"/>
    <x v="0"/>
    <x v="4"/>
  </r>
  <r>
    <x v="3"/>
    <x v="0"/>
    <x v="10"/>
    <x v="14"/>
    <x v="1"/>
    <x v="1"/>
    <x v="2"/>
    <x v="1"/>
    <x v="4"/>
    <x v="2"/>
    <x v="5"/>
    <x v="1"/>
    <x v="5"/>
    <x v="4"/>
  </r>
  <r>
    <x v="4"/>
    <x v="0"/>
    <x v="9"/>
    <x v="15"/>
    <x v="2"/>
    <x v="2"/>
    <x v="3"/>
    <x v="1"/>
    <x v="1"/>
    <x v="1"/>
    <x v="6"/>
    <x v="3"/>
    <x v="3"/>
    <x v="4"/>
  </r>
  <r>
    <x v="5"/>
    <x v="0"/>
    <x v="23"/>
    <x v="21"/>
    <x v="2"/>
    <x v="2"/>
    <x v="4"/>
    <x v="1"/>
    <x v="3"/>
    <x v="5"/>
    <x v="11"/>
    <x v="5"/>
    <x v="8"/>
    <x v="4"/>
  </r>
  <r>
    <x v="6"/>
    <x v="0"/>
    <x v="6"/>
    <x v="1"/>
    <x v="16"/>
    <x v="3"/>
    <x v="5"/>
    <x v="1"/>
    <x v="5"/>
    <x v="3"/>
    <x v="3"/>
    <x v="0"/>
    <x v="4"/>
    <x v="4"/>
  </r>
  <r>
    <x v="7"/>
    <x v="0"/>
    <x v="7"/>
    <x v="6"/>
    <x v="3"/>
    <x v="4"/>
    <x v="5"/>
    <x v="0"/>
    <x v="1"/>
    <x v="0"/>
    <x v="2"/>
    <x v="4"/>
    <x v="2"/>
    <x v="4"/>
  </r>
  <r>
    <x v="8"/>
    <x v="1"/>
    <x v="21"/>
    <x v="4"/>
    <x v="4"/>
    <x v="4"/>
    <x v="6"/>
    <x v="1"/>
    <x v="11"/>
    <x v="4"/>
    <x v="1"/>
    <x v="4"/>
    <x v="10"/>
    <x v="4"/>
  </r>
  <r>
    <x v="9"/>
    <x v="1"/>
    <x v="19"/>
    <x v="7"/>
    <x v="5"/>
    <x v="5"/>
    <x v="7"/>
    <x v="2"/>
    <x v="13"/>
    <x v="6"/>
    <x v="8"/>
    <x v="1"/>
    <x v="20"/>
    <x v="1"/>
  </r>
  <r>
    <x v="10"/>
    <x v="1"/>
    <x v="20"/>
    <x v="19"/>
    <x v="5"/>
    <x v="6"/>
    <x v="8"/>
    <x v="1"/>
    <x v="6"/>
    <x v="3"/>
    <x v="5"/>
    <x v="1"/>
    <x v="6"/>
    <x v="4"/>
  </r>
  <r>
    <x v="11"/>
    <x v="1"/>
    <x v="18"/>
    <x v="12"/>
    <x v="5"/>
    <x v="7"/>
    <x v="9"/>
    <x v="2"/>
    <x v="8"/>
    <x v="4"/>
    <x v="7"/>
    <x v="1"/>
    <x v="12"/>
    <x v="4"/>
  </r>
  <r>
    <x v="12"/>
    <x v="1"/>
    <x v="17"/>
    <x v="11"/>
    <x v="7"/>
    <x v="8"/>
    <x v="10"/>
    <x v="2"/>
    <x v="7"/>
    <x v="3"/>
    <x v="5"/>
    <x v="1"/>
    <x v="7"/>
    <x v="4"/>
  </r>
  <r>
    <x v="13"/>
    <x v="1"/>
    <x v="14"/>
    <x v="23"/>
    <x v="8"/>
    <x v="9"/>
    <x v="11"/>
    <x v="2"/>
    <x v="8"/>
    <x v="7"/>
    <x v="8"/>
    <x v="1"/>
    <x v="17"/>
    <x v="4"/>
  </r>
  <r>
    <x v="14"/>
    <x v="1"/>
    <x v="15"/>
    <x v="10"/>
    <x v="6"/>
    <x v="10"/>
    <x v="12"/>
    <x v="2"/>
    <x v="11"/>
    <x v="5"/>
    <x v="10"/>
    <x v="3"/>
    <x v="19"/>
    <x v="0"/>
  </r>
  <r>
    <x v="15"/>
    <x v="1"/>
    <x v="16"/>
    <x v="22"/>
    <x v="9"/>
    <x v="11"/>
    <x v="13"/>
    <x v="2"/>
    <x v="9"/>
    <x v="6"/>
    <x v="9"/>
    <x v="3"/>
    <x v="18"/>
    <x v="4"/>
  </r>
  <r>
    <x v="16"/>
    <x v="1"/>
    <x v="13"/>
    <x v="18"/>
    <x v="14"/>
    <x v="12"/>
    <x v="14"/>
    <x v="1"/>
    <x v="12"/>
    <x v="1"/>
    <x v="8"/>
    <x v="5"/>
    <x v="16"/>
    <x v="4"/>
  </r>
  <r>
    <x v="17"/>
    <x v="2"/>
    <x v="12"/>
    <x v="16"/>
    <x v="10"/>
    <x v="13"/>
    <x v="15"/>
    <x v="2"/>
    <x v="18"/>
    <x v="0"/>
    <x v="7"/>
    <x v="4"/>
    <x v="21"/>
    <x v="4"/>
  </r>
  <r>
    <x v="18"/>
    <x v="2"/>
    <x v="1"/>
    <x v="8"/>
    <x v="11"/>
    <x v="14"/>
    <x v="16"/>
    <x v="2"/>
    <x v="15"/>
    <x v="0"/>
    <x v="4"/>
    <x v="2"/>
    <x v="11"/>
    <x v="3"/>
  </r>
  <r>
    <x v="19"/>
    <x v="2"/>
    <x v="4"/>
    <x v="20"/>
    <x v="11"/>
    <x v="14"/>
    <x v="16"/>
    <x v="2"/>
    <x v="17"/>
    <x v="0"/>
    <x v="4"/>
    <x v="2"/>
    <x v="13"/>
    <x v="4"/>
  </r>
  <r>
    <x v="20"/>
    <x v="2"/>
    <x v="2"/>
    <x v="9"/>
    <x v="11"/>
    <x v="14"/>
    <x v="16"/>
    <x v="2"/>
    <x v="14"/>
    <x v="0"/>
    <x v="3"/>
    <x v="2"/>
    <x v="9"/>
    <x v="4"/>
  </r>
  <r>
    <x v="21"/>
    <x v="2"/>
    <x v="3"/>
    <x v="3"/>
    <x v="15"/>
    <x v="15"/>
    <x v="17"/>
    <x v="2"/>
    <x v="16"/>
    <x v="0"/>
    <x v="4"/>
    <x v="4"/>
    <x v="14"/>
    <x v="2"/>
  </r>
  <r>
    <x v="22"/>
    <x v="2"/>
    <x v="22"/>
    <x v="17"/>
    <x v="12"/>
    <x v="16"/>
    <x v="18"/>
    <x v="3"/>
    <x v="10"/>
    <x v="0"/>
    <x v="13"/>
    <x v="7"/>
    <x v="22"/>
    <x v="4"/>
  </r>
  <r>
    <x v="23"/>
    <x v="2"/>
    <x v="0"/>
    <x v="5"/>
    <x v="13"/>
    <x v="17"/>
    <x v="19"/>
    <x v="1"/>
    <x v="6"/>
    <x v="0"/>
    <x v="12"/>
    <x v="6"/>
    <x v="15"/>
    <x v="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H6" firstHeaderRow="1" firstDataRow="2" firstDataCol="1"/>
  <pivotFields count="14">
    <pivotField compact="0" showAll="0"/>
    <pivotField axis="axisRow" compact="0" showAll="0" defaultSubtotal="0" outline="0">
      <items count="3">
        <item x="0"/>
        <item x="1"/>
        <item x="2"/>
      </items>
    </pivotField>
    <pivotField compact="0" showAll="0"/>
    <pivotField compact="0" showAll="0"/>
    <pivotField compact="0" showAll="0"/>
    <pivotField dataField="1" compact="0" showAll="0" outline="0"/>
    <pivotField dataField="1" compact="0" showAll="0" outline="0"/>
    <pivotField compact="0" showAll="0"/>
    <pivotField dataField="1" compact="0" showAll="0" outline="0"/>
    <pivotField dataField="1" compact="0" showAll="0" outline="0"/>
    <pivotField dataField="1" compact="0" showAll="0" outline="0"/>
    <pivotField dataField="1" compact="0" showAll="0" outline="0"/>
    <pivotField dataField="1" compact="0" showAll="0" outline="0"/>
    <pivotField compact="0" showAll="0"/>
  </pivotFields>
  <rowFields count="1">
    <field x="1"/>
  </rowFields>
  <rowItems count="4">
    <i>
      <x v="0"/>
    </i>
    <i>
      <x v="1"/>
    </i>
    <i>
      <x v="2"/>
    </i>
    <i t="grand">
      <x v="3"/>
    </i>
  </rowItems>
  <colFields count="1">
    <field x="-2"/>
  </colFields>
  <colItems count="1">
    <i t="grand">
      <x v="0"/>
    </i>
  </colItems>
  <dataFields count="7">
    <dataField name="Min - Semana_Inicio" fld="5" subtotal="min" numFmtId="164"/>
    <dataField name="Max - Semana_Fin" fld="6" subtotal="max" numFmtId="164"/>
    <dataField name="Sum - Horas_Consultor_BI" fld="8" subtotal="sum" numFmtId="164"/>
    <dataField name="Sum - Horas_ABAP_Developer" fld="9" subtotal="sum" numFmtId="164"/>
    <dataField name="Sum - Horas_Funcional_SAP" fld="10" subtotal="sum" numFmtId="164"/>
    <dataField name="Sum - Horas_Project_Manager" fld="11" subtotal="sum" numFmtId="164"/>
    <dataField name="Sum - Total_Horas" fld="12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7.55"/>
    <col collapsed="false" customWidth="true" hidden="false" outlineLevel="0" max="3" min="3" style="0" width="45.4"/>
    <col collapsed="false" customWidth="true" hidden="false" outlineLevel="0" max="4" min="4" style="0" width="106.2"/>
    <col collapsed="false" customWidth="true" hidden="false" outlineLevel="0" max="5" min="5" style="1" width="21.88"/>
    <col collapsed="false" customWidth="true" hidden="false" outlineLevel="0" max="6" min="6" style="0" width="17.24"/>
    <col collapsed="false" customWidth="true" hidden="false" outlineLevel="0" max="7" min="7" style="0" width="14.81"/>
    <col collapsed="false" customWidth="true" hidden="false" outlineLevel="0" max="8" min="8" style="0" width="22.46"/>
    <col collapsed="false" customWidth="true" hidden="false" outlineLevel="0" max="9" min="9" style="0" width="23.16"/>
    <col collapsed="false" customWidth="true" hidden="false" outlineLevel="0" max="10" min="10" style="0" width="27.68"/>
    <col collapsed="false" customWidth="true" hidden="false" outlineLevel="0" max="11" min="11" style="0" width="25.71"/>
    <col collapsed="false" customWidth="true" hidden="false" outlineLevel="0" max="12" min="12" style="0" width="27.22"/>
    <col collapsed="false" customWidth="true" hidden="false" outlineLevel="0" max="13" min="13" style="0" width="14.46"/>
    <col collapsed="false" customWidth="true" hidden="false" outlineLevel="0" max="14" min="14" style="0" width="76.3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2.8" hidden="false" customHeight="false" outlineLevel="0" collapsed="false">
      <c r="A2" s="0" t="n">
        <v>1</v>
      </c>
      <c r="B2" s="0" t="s">
        <v>14</v>
      </c>
      <c r="C2" s="0" t="s">
        <v>15</v>
      </c>
      <c r="D2" s="5" t="s">
        <v>16</v>
      </c>
      <c r="F2" s="0" t="n">
        <v>0</v>
      </c>
      <c r="G2" s="0" t="n">
        <v>0</v>
      </c>
      <c r="H2" s="0" t="n">
        <v>1</v>
      </c>
      <c r="I2" s="0" t="n">
        <v>8</v>
      </c>
      <c r="J2" s="0" t="n">
        <v>0</v>
      </c>
      <c r="K2" s="0" t="n">
        <v>6</v>
      </c>
      <c r="L2" s="0" t="n">
        <v>0</v>
      </c>
      <c r="M2" s="0" t="n">
        <v>14</v>
      </c>
    </row>
    <row r="3" customFormat="false" ht="12.8" hidden="false" customHeight="false" outlineLevel="0" collapsed="false">
      <c r="A3" s="0" t="n">
        <v>2</v>
      </c>
      <c r="B3" s="0" t="s">
        <v>14</v>
      </c>
      <c r="C3" s="0" t="s">
        <v>17</v>
      </c>
      <c r="D3" s="5" t="s">
        <v>18</v>
      </c>
      <c r="F3" s="0" t="n">
        <v>0</v>
      </c>
      <c r="G3" s="0" t="n">
        <v>0</v>
      </c>
      <c r="H3" s="0" t="n">
        <v>1</v>
      </c>
      <c r="I3" s="0" t="n">
        <v>10</v>
      </c>
      <c r="J3" s="0" t="n">
        <v>0</v>
      </c>
      <c r="K3" s="0" t="n">
        <v>8</v>
      </c>
      <c r="L3" s="0" t="n">
        <v>0</v>
      </c>
      <c r="M3" s="0" t="n">
        <v>18</v>
      </c>
    </row>
    <row r="4" customFormat="false" ht="12.8" hidden="false" customHeight="false" outlineLevel="0" collapsed="false">
      <c r="A4" s="0" t="n">
        <v>3</v>
      </c>
      <c r="B4" s="0" t="s">
        <v>14</v>
      </c>
      <c r="C4" s="0" t="s">
        <v>19</v>
      </c>
      <c r="D4" s="5" t="s">
        <v>20</v>
      </c>
      <c r="E4" s="1" t="n">
        <v>2</v>
      </c>
      <c r="F4" s="0" t="n">
        <v>1</v>
      </c>
      <c r="G4" s="0" t="n">
        <v>1</v>
      </c>
      <c r="H4" s="0" t="n">
        <v>1</v>
      </c>
      <c r="I4" s="0" t="n">
        <v>4</v>
      </c>
      <c r="J4" s="0" t="n">
        <v>0</v>
      </c>
      <c r="K4" s="0" t="n">
        <v>6</v>
      </c>
      <c r="L4" s="0" t="n">
        <v>4</v>
      </c>
      <c r="M4" s="0" t="n">
        <v>14</v>
      </c>
    </row>
    <row r="5" customFormat="false" ht="22.35" hidden="false" customHeight="false" outlineLevel="0" collapsed="false">
      <c r="A5" s="0" t="n">
        <v>5</v>
      </c>
      <c r="B5" s="0" t="s">
        <v>14</v>
      </c>
      <c r="C5" s="0" t="s">
        <v>21</v>
      </c>
      <c r="D5" s="5" t="s">
        <v>22</v>
      </c>
      <c r="E5" s="1" t="n">
        <v>3</v>
      </c>
      <c r="F5" s="0" t="n">
        <v>1</v>
      </c>
      <c r="G5" s="0" t="n">
        <v>3</v>
      </c>
      <c r="H5" s="0" t="n">
        <v>2</v>
      </c>
      <c r="I5" s="0" t="n">
        <v>24</v>
      </c>
      <c r="J5" s="0" t="n">
        <v>16</v>
      </c>
      <c r="K5" s="0" t="n">
        <v>20</v>
      </c>
      <c r="L5" s="0" t="n">
        <v>4</v>
      </c>
      <c r="M5" s="0" t="n">
        <v>64</v>
      </c>
    </row>
    <row r="6" customFormat="false" ht="12.8" hidden="false" customHeight="false" outlineLevel="0" collapsed="false">
      <c r="A6" s="0" t="n">
        <v>6</v>
      </c>
      <c r="B6" s="0" t="s">
        <v>14</v>
      </c>
      <c r="C6" s="0" t="s">
        <v>23</v>
      </c>
      <c r="D6" s="5" t="s">
        <v>24</v>
      </c>
      <c r="E6" s="1" t="n">
        <v>5</v>
      </c>
      <c r="F6" s="0" t="n">
        <v>3</v>
      </c>
      <c r="G6" s="0" t="n">
        <v>4</v>
      </c>
      <c r="H6" s="0" t="n">
        <v>2</v>
      </c>
      <c r="I6" s="0" t="n">
        <v>8</v>
      </c>
      <c r="J6" s="0" t="n">
        <v>12</v>
      </c>
      <c r="K6" s="0" t="n">
        <v>22</v>
      </c>
      <c r="L6" s="0" t="n">
        <v>6</v>
      </c>
      <c r="M6" s="0" t="n">
        <v>48</v>
      </c>
    </row>
    <row r="7" customFormat="false" ht="22.35" hidden="false" customHeight="false" outlineLevel="0" collapsed="false">
      <c r="A7" s="0" t="n">
        <v>7</v>
      </c>
      <c r="B7" s="0" t="s">
        <v>14</v>
      </c>
      <c r="C7" s="0" t="s">
        <v>25</v>
      </c>
      <c r="D7" s="5" t="s">
        <v>26</v>
      </c>
      <c r="E7" s="1" t="n">
        <v>5</v>
      </c>
      <c r="F7" s="0" t="n">
        <v>3</v>
      </c>
      <c r="G7" s="0" t="n">
        <v>5</v>
      </c>
      <c r="H7" s="0" t="n">
        <v>2</v>
      </c>
      <c r="I7" s="0" t="n">
        <v>14</v>
      </c>
      <c r="J7" s="0" t="n">
        <v>24</v>
      </c>
      <c r="K7" s="0" t="n">
        <v>34</v>
      </c>
      <c r="L7" s="0" t="n">
        <v>10</v>
      </c>
      <c r="M7" s="0" t="n">
        <v>82</v>
      </c>
    </row>
    <row r="8" customFormat="false" ht="22.35" hidden="false" customHeight="false" outlineLevel="0" collapsed="false">
      <c r="A8" s="0" t="n">
        <v>8</v>
      </c>
      <c r="B8" s="0" t="s">
        <v>14</v>
      </c>
      <c r="C8" s="0" t="s">
        <v>27</v>
      </c>
      <c r="D8" s="5" t="s">
        <v>28</v>
      </c>
      <c r="E8" s="1" t="s">
        <v>29</v>
      </c>
      <c r="F8" s="0" t="n">
        <v>5</v>
      </c>
      <c r="G8" s="0" t="n">
        <v>6</v>
      </c>
      <c r="H8" s="0" t="n">
        <v>2</v>
      </c>
      <c r="I8" s="0" t="n">
        <v>28</v>
      </c>
      <c r="J8" s="0" t="n">
        <v>18</v>
      </c>
      <c r="K8" s="0" t="n">
        <v>14</v>
      </c>
      <c r="L8" s="0" t="n">
        <v>0</v>
      </c>
      <c r="M8" s="0" t="n">
        <v>60</v>
      </c>
    </row>
    <row r="9" customFormat="false" ht="12.8" hidden="false" customHeight="false" outlineLevel="0" collapsed="false">
      <c r="A9" s="0" t="n">
        <v>9</v>
      </c>
      <c r="B9" s="0" t="s">
        <v>14</v>
      </c>
      <c r="C9" s="0" t="s">
        <v>30</v>
      </c>
      <c r="D9" s="5" t="s">
        <v>31</v>
      </c>
      <c r="E9" s="1" t="n">
        <v>8</v>
      </c>
      <c r="F9" s="0" t="n">
        <v>6</v>
      </c>
      <c r="G9" s="0" t="n">
        <v>6</v>
      </c>
      <c r="H9" s="0" t="n">
        <v>1</v>
      </c>
      <c r="I9" s="0" t="n">
        <v>8</v>
      </c>
      <c r="J9" s="0" t="n">
        <v>0</v>
      </c>
      <c r="K9" s="0" t="n">
        <v>12</v>
      </c>
      <c r="L9" s="0" t="n">
        <v>8</v>
      </c>
      <c r="M9" s="0" t="n">
        <v>28</v>
      </c>
    </row>
    <row r="10" customFormat="false" ht="22.35" hidden="false" customHeight="false" outlineLevel="0" collapsed="false">
      <c r="A10" s="0" t="n">
        <v>10</v>
      </c>
      <c r="B10" s="0" t="s">
        <v>32</v>
      </c>
      <c r="C10" s="0" t="s">
        <v>33</v>
      </c>
      <c r="D10" s="5" t="s">
        <v>34</v>
      </c>
      <c r="E10" s="1" t="n">
        <v>9</v>
      </c>
      <c r="F10" s="0" t="n">
        <v>6</v>
      </c>
      <c r="G10" s="0" t="n">
        <v>8</v>
      </c>
      <c r="H10" s="0" t="n">
        <v>2</v>
      </c>
      <c r="I10" s="0" t="n">
        <v>48</v>
      </c>
      <c r="J10" s="0" t="n">
        <v>20</v>
      </c>
      <c r="K10" s="0" t="n">
        <v>8</v>
      </c>
      <c r="L10" s="0" t="n">
        <v>8</v>
      </c>
      <c r="M10" s="0" t="n">
        <v>84</v>
      </c>
    </row>
    <row r="11" customFormat="false" ht="22.35" hidden="false" customHeight="false" outlineLevel="0" collapsed="false">
      <c r="A11" s="0" t="n">
        <v>11</v>
      </c>
      <c r="B11" s="0" t="s">
        <v>32</v>
      </c>
      <c r="C11" s="0" t="s">
        <v>35</v>
      </c>
      <c r="D11" s="5" t="s">
        <v>36</v>
      </c>
      <c r="E11" s="1" t="n">
        <v>10</v>
      </c>
      <c r="F11" s="0" t="n">
        <v>8</v>
      </c>
      <c r="G11" s="0" t="n">
        <v>11</v>
      </c>
      <c r="H11" s="0" t="n">
        <v>3</v>
      </c>
      <c r="I11" s="0" t="n">
        <v>52</v>
      </c>
      <c r="J11" s="0" t="n">
        <v>28</v>
      </c>
      <c r="K11" s="0" t="n">
        <v>26</v>
      </c>
      <c r="L11" s="0" t="n">
        <v>4</v>
      </c>
      <c r="M11" s="0" t="n">
        <v>110</v>
      </c>
      <c r="N11" s="0" t="s">
        <v>37</v>
      </c>
    </row>
    <row r="12" customFormat="false" ht="22.35" hidden="false" customHeight="false" outlineLevel="0" collapsed="false">
      <c r="A12" s="0" t="n">
        <v>12</v>
      </c>
      <c r="B12" s="0" t="s">
        <v>32</v>
      </c>
      <c r="C12" s="0" t="s">
        <v>38</v>
      </c>
      <c r="D12" s="5" t="s">
        <v>39</v>
      </c>
      <c r="E12" s="1" t="n">
        <v>10</v>
      </c>
      <c r="F12" s="0" t="n">
        <v>11</v>
      </c>
      <c r="G12" s="0" t="n">
        <v>13</v>
      </c>
      <c r="H12" s="0" t="n">
        <v>2</v>
      </c>
      <c r="I12" s="0" t="n">
        <v>36</v>
      </c>
      <c r="J12" s="0" t="n">
        <v>18</v>
      </c>
      <c r="K12" s="0" t="n">
        <v>20</v>
      </c>
      <c r="L12" s="0" t="n">
        <v>4</v>
      </c>
      <c r="M12" s="0" t="n">
        <v>78</v>
      </c>
    </row>
    <row r="13" customFormat="false" ht="22.35" hidden="false" customHeight="false" outlineLevel="0" collapsed="false">
      <c r="A13" s="0" t="n">
        <v>13</v>
      </c>
      <c r="B13" s="0" t="s">
        <v>32</v>
      </c>
      <c r="C13" s="0" t="s">
        <v>40</v>
      </c>
      <c r="D13" s="5" t="s">
        <v>41</v>
      </c>
      <c r="E13" s="1" t="n">
        <v>10</v>
      </c>
      <c r="F13" s="0" t="n">
        <v>13</v>
      </c>
      <c r="G13" s="0" t="n">
        <v>15</v>
      </c>
      <c r="H13" s="0" t="n">
        <v>3</v>
      </c>
      <c r="I13" s="0" t="n">
        <v>40</v>
      </c>
      <c r="J13" s="0" t="n">
        <v>20</v>
      </c>
      <c r="K13" s="0" t="n">
        <v>24</v>
      </c>
      <c r="L13" s="0" t="n">
        <v>4</v>
      </c>
      <c r="M13" s="0" t="n">
        <v>88</v>
      </c>
    </row>
    <row r="14" customFormat="false" ht="22.35" hidden="false" customHeight="false" outlineLevel="0" collapsed="false">
      <c r="A14" s="0" t="n">
        <v>14</v>
      </c>
      <c r="B14" s="0" t="s">
        <v>32</v>
      </c>
      <c r="C14" s="0" t="s">
        <v>42</v>
      </c>
      <c r="D14" s="5" t="s">
        <v>43</v>
      </c>
      <c r="E14" s="1" t="n">
        <v>13</v>
      </c>
      <c r="F14" s="0" t="n">
        <v>15</v>
      </c>
      <c r="G14" s="0" t="n">
        <v>17</v>
      </c>
      <c r="H14" s="0" t="n">
        <v>3</v>
      </c>
      <c r="I14" s="0" t="n">
        <v>38</v>
      </c>
      <c r="J14" s="0" t="n">
        <v>18</v>
      </c>
      <c r="K14" s="0" t="n">
        <v>20</v>
      </c>
      <c r="L14" s="0" t="n">
        <v>4</v>
      </c>
      <c r="M14" s="0" t="n">
        <v>80</v>
      </c>
    </row>
    <row r="15" customFormat="false" ht="22.35" hidden="false" customHeight="false" outlineLevel="0" collapsed="false">
      <c r="A15" s="0" t="n">
        <v>15</v>
      </c>
      <c r="B15" s="0" t="s">
        <v>32</v>
      </c>
      <c r="C15" s="0" t="s">
        <v>44</v>
      </c>
      <c r="D15" s="5" t="s">
        <v>45</v>
      </c>
      <c r="E15" s="1" t="n">
        <v>14</v>
      </c>
      <c r="F15" s="0" t="n">
        <v>17</v>
      </c>
      <c r="G15" s="0" t="n">
        <v>20</v>
      </c>
      <c r="H15" s="0" t="n">
        <v>3</v>
      </c>
      <c r="I15" s="0" t="n">
        <v>40</v>
      </c>
      <c r="J15" s="0" t="n">
        <v>32</v>
      </c>
      <c r="K15" s="0" t="n">
        <v>26</v>
      </c>
      <c r="L15" s="0" t="n">
        <v>4</v>
      </c>
      <c r="M15" s="0" t="n">
        <v>102</v>
      </c>
    </row>
    <row r="16" customFormat="false" ht="22.35" hidden="false" customHeight="false" outlineLevel="0" collapsed="false">
      <c r="A16" s="0" t="n">
        <v>16</v>
      </c>
      <c r="B16" s="0" t="s">
        <v>32</v>
      </c>
      <c r="C16" s="0" t="s">
        <v>46</v>
      </c>
      <c r="D16" s="5" t="s">
        <v>47</v>
      </c>
      <c r="E16" s="1" t="n">
        <v>12</v>
      </c>
      <c r="F16" s="0" t="n">
        <v>20</v>
      </c>
      <c r="G16" s="0" t="n">
        <v>22</v>
      </c>
      <c r="H16" s="0" t="n">
        <v>3</v>
      </c>
      <c r="I16" s="0" t="n">
        <v>48</v>
      </c>
      <c r="J16" s="0" t="n">
        <v>24</v>
      </c>
      <c r="K16" s="0" t="n">
        <v>30</v>
      </c>
      <c r="L16" s="0" t="n">
        <v>6</v>
      </c>
      <c r="M16" s="0" t="n">
        <v>108</v>
      </c>
      <c r="N16" s="0" t="s">
        <v>48</v>
      </c>
    </row>
    <row r="17" customFormat="false" ht="22.35" hidden="false" customHeight="false" outlineLevel="0" collapsed="false">
      <c r="A17" s="0" t="n">
        <v>17</v>
      </c>
      <c r="B17" s="0" t="s">
        <v>32</v>
      </c>
      <c r="C17" s="0" t="s">
        <v>49</v>
      </c>
      <c r="D17" s="5" t="s">
        <v>50</v>
      </c>
      <c r="E17" s="1" t="n">
        <v>15</v>
      </c>
      <c r="F17" s="0" t="n">
        <v>22</v>
      </c>
      <c r="G17" s="0" t="n">
        <v>24</v>
      </c>
      <c r="H17" s="0" t="n">
        <v>3</v>
      </c>
      <c r="I17" s="0" t="n">
        <v>42</v>
      </c>
      <c r="J17" s="0" t="n">
        <v>28</v>
      </c>
      <c r="K17" s="0" t="n">
        <v>28</v>
      </c>
      <c r="L17" s="0" t="n">
        <v>6</v>
      </c>
      <c r="M17" s="0" t="n">
        <v>104</v>
      </c>
    </row>
    <row r="18" customFormat="false" ht="22.35" hidden="false" customHeight="false" outlineLevel="0" collapsed="false">
      <c r="A18" s="0" t="n">
        <v>18</v>
      </c>
      <c r="B18" s="0" t="s">
        <v>32</v>
      </c>
      <c r="C18" s="0" t="s">
        <v>51</v>
      </c>
      <c r="D18" s="5" t="s">
        <v>52</v>
      </c>
      <c r="E18" s="1" t="s">
        <v>53</v>
      </c>
      <c r="F18" s="0" t="n">
        <v>24</v>
      </c>
      <c r="G18" s="0" t="n">
        <v>26</v>
      </c>
      <c r="H18" s="0" t="n">
        <v>2</v>
      </c>
      <c r="I18" s="0" t="n">
        <v>50</v>
      </c>
      <c r="J18" s="0" t="n">
        <v>12</v>
      </c>
      <c r="K18" s="0" t="n">
        <v>26</v>
      </c>
      <c r="L18" s="0" t="n">
        <v>10</v>
      </c>
      <c r="M18" s="0" t="n">
        <v>98</v>
      </c>
    </row>
    <row r="19" customFormat="false" ht="22.35" hidden="false" customHeight="false" outlineLevel="0" collapsed="false">
      <c r="A19" s="0" t="n">
        <v>19</v>
      </c>
      <c r="B19" s="0" t="s">
        <v>54</v>
      </c>
      <c r="C19" s="0" t="s">
        <v>55</v>
      </c>
      <c r="D19" s="5" t="s">
        <v>56</v>
      </c>
      <c r="E19" s="1" t="n">
        <v>18</v>
      </c>
      <c r="F19" s="0" t="n">
        <v>26</v>
      </c>
      <c r="G19" s="0" t="n">
        <v>28</v>
      </c>
      <c r="H19" s="0" t="n">
        <v>3</v>
      </c>
      <c r="I19" s="0" t="n">
        <v>88</v>
      </c>
      <c r="J19" s="0" t="n">
        <v>0</v>
      </c>
      <c r="K19" s="0" t="n">
        <v>24</v>
      </c>
      <c r="L19" s="0" t="n">
        <v>8</v>
      </c>
      <c r="M19" s="0" t="n">
        <v>120</v>
      </c>
    </row>
    <row r="20" customFormat="false" ht="22.35" hidden="false" customHeight="false" outlineLevel="0" collapsed="false">
      <c r="A20" s="0" t="n">
        <v>20</v>
      </c>
      <c r="B20" s="0" t="s">
        <v>54</v>
      </c>
      <c r="C20" s="0" t="s">
        <v>57</v>
      </c>
      <c r="D20" s="5" t="s">
        <v>58</v>
      </c>
      <c r="E20" s="1" t="n">
        <v>19</v>
      </c>
      <c r="F20" s="0" t="n">
        <v>28</v>
      </c>
      <c r="G20" s="0" t="n">
        <v>30</v>
      </c>
      <c r="H20" s="0" t="n">
        <v>3</v>
      </c>
      <c r="I20" s="0" t="n">
        <v>66</v>
      </c>
      <c r="J20" s="0" t="n">
        <v>0</v>
      </c>
      <c r="K20" s="0" t="n">
        <v>16</v>
      </c>
      <c r="L20" s="0" t="n">
        <v>5</v>
      </c>
      <c r="M20" s="0" t="n">
        <v>87</v>
      </c>
      <c r="N20" s="0" t="s">
        <v>59</v>
      </c>
    </row>
    <row r="21" customFormat="false" ht="22.35" hidden="false" customHeight="false" outlineLevel="0" collapsed="false">
      <c r="A21" s="0" t="n">
        <v>21</v>
      </c>
      <c r="B21" s="0" t="s">
        <v>54</v>
      </c>
      <c r="C21" s="0" t="s">
        <v>60</v>
      </c>
      <c r="D21" s="5" t="s">
        <v>61</v>
      </c>
      <c r="E21" s="1" t="n">
        <v>19</v>
      </c>
      <c r="F21" s="0" t="n">
        <v>28</v>
      </c>
      <c r="G21" s="0" t="n">
        <v>30</v>
      </c>
      <c r="H21" s="0" t="n">
        <v>3</v>
      </c>
      <c r="I21" s="0" t="n">
        <v>70</v>
      </c>
      <c r="J21" s="0" t="n">
        <v>0</v>
      </c>
      <c r="K21" s="0" t="n">
        <v>16</v>
      </c>
      <c r="L21" s="0" t="n">
        <v>5</v>
      </c>
      <c r="M21" s="0" t="n">
        <v>91</v>
      </c>
    </row>
    <row r="22" customFormat="false" ht="22.35" hidden="false" customHeight="false" outlineLevel="0" collapsed="false">
      <c r="A22" s="0" t="n">
        <v>22</v>
      </c>
      <c r="B22" s="0" t="s">
        <v>54</v>
      </c>
      <c r="C22" s="0" t="s">
        <v>62</v>
      </c>
      <c r="D22" s="5" t="s">
        <v>63</v>
      </c>
      <c r="E22" s="1" t="n">
        <v>19</v>
      </c>
      <c r="F22" s="0" t="n">
        <v>28</v>
      </c>
      <c r="G22" s="0" t="n">
        <v>30</v>
      </c>
      <c r="H22" s="0" t="n">
        <v>3</v>
      </c>
      <c r="I22" s="0" t="n">
        <v>64</v>
      </c>
      <c r="J22" s="0" t="n">
        <v>0</v>
      </c>
      <c r="K22" s="0" t="n">
        <v>14</v>
      </c>
      <c r="L22" s="0" t="n">
        <v>5</v>
      </c>
      <c r="M22" s="0" t="n">
        <v>83</v>
      </c>
    </row>
    <row r="23" customFormat="false" ht="22.35" hidden="false" customHeight="false" outlineLevel="0" collapsed="false">
      <c r="A23" s="0" t="n">
        <v>23</v>
      </c>
      <c r="B23" s="0" t="s">
        <v>54</v>
      </c>
      <c r="C23" s="0" t="s">
        <v>64</v>
      </c>
      <c r="D23" s="5" t="s">
        <v>65</v>
      </c>
      <c r="E23" s="1" t="s">
        <v>66</v>
      </c>
      <c r="F23" s="0" t="n">
        <v>30</v>
      </c>
      <c r="G23" s="0" t="n">
        <v>32</v>
      </c>
      <c r="H23" s="0" t="n">
        <v>3</v>
      </c>
      <c r="I23" s="0" t="n">
        <v>68</v>
      </c>
      <c r="J23" s="0" t="n">
        <v>0</v>
      </c>
      <c r="K23" s="0" t="n">
        <v>16</v>
      </c>
      <c r="L23" s="0" t="n">
        <v>8</v>
      </c>
      <c r="M23" s="0" t="n">
        <v>92</v>
      </c>
      <c r="N23" s="0" t="s">
        <v>67</v>
      </c>
    </row>
    <row r="24" customFormat="false" ht="22.35" hidden="false" customHeight="false" outlineLevel="0" collapsed="false">
      <c r="A24" s="0" t="n">
        <v>24</v>
      </c>
      <c r="B24" s="0" t="s">
        <v>54</v>
      </c>
      <c r="C24" s="0" t="s">
        <v>68</v>
      </c>
      <c r="D24" s="5" t="s">
        <v>69</v>
      </c>
      <c r="E24" s="1" t="n">
        <v>23</v>
      </c>
      <c r="F24" s="0" t="n">
        <v>32</v>
      </c>
      <c r="G24" s="0" t="n">
        <v>35</v>
      </c>
      <c r="H24" s="0" t="n">
        <v>4</v>
      </c>
      <c r="I24" s="0" t="n">
        <v>45</v>
      </c>
      <c r="J24" s="0" t="n">
        <v>0</v>
      </c>
      <c r="K24" s="0" t="n">
        <v>58</v>
      </c>
      <c r="L24" s="0" t="n">
        <v>28</v>
      </c>
      <c r="M24" s="0" t="n">
        <v>131</v>
      </c>
    </row>
    <row r="25" customFormat="false" ht="12.8" hidden="false" customHeight="false" outlineLevel="0" collapsed="false">
      <c r="A25" s="0" t="n">
        <v>25</v>
      </c>
      <c r="B25" s="0" t="s">
        <v>54</v>
      </c>
      <c r="C25" s="0" t="s">
        <v>70</v>
      </c>
      <c r="D25" s="5" t="s">
        <v>71</v>
      </c>
      <c r="E25" s="1" t="n">
        <v>24</v>
      </c>
      <c r="F25" s="0" t="n">
        <v>35</v>
      </c>
      <c r="G25" s="0" t="n">
        <v>36</v>
      </c>
      <c r="H25" s="0" t="n">
        <v>2</v>
      </c>
      <c r="I25" s="0" t="n">
        <v>36</v>
      </c>
      <c r="J25" s="0" t="n">
        <v>0</v>
      </c>
      <c r="K25" s="0" t="n">
        <v>38</v>
      </c>
      <c r="L25" s="0" t="n">
        <v>22</v>
      </c>
      <c r="M25" s="0" t="n">
        <v>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10" activeCellId="0" sqref="G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5.88"/>
    <col collapsed="false" customWidth="true" hidden="false" outlineLevel="0" max="2" min="2" style="0" width="18.43"/>
    <col collapsed="false" customWidth="true" hidden="false" outlineLevel="0" max="3" min="3" style="0" width="17.13"/>
    <col collapsed="false" customWidth="true" hidden="false" outlineLevel="0" max="4" min="4" style="0" width="23.62"/>
    <col collapsed="false" customWidth="true" hidden="false" outlineLevel="0" max="5" min="5" style="0" width="27.57"/>
    <col collapsed="false" customWidth="true" hidden="false" outlineLevel="0" max="6" min="6" style="0" width="25.94"/>
    <col collapsed="false" customWidth="true" hidden="false" outlineLevel="0" max="7" min="7" style="0" width="26.98"/>
    <col collapsed="false" customWidth="true" hidden="false" outlineLevel="0" max="8" min="8" style="0" width="17.01"/>
  </cols>
  <sheetData>
    <row r="1" customFormat="false" ht="12.8" hidden="false" customHeight="false" outlineLevel="0" collapsed="false">
      <c r="A1" s="6"/>
      <c r="B1" s="7" t="s">
        <v>72</v>
      </c>
      <c r="C1" s="8"/>
      <c r="D1" s="8"/>
      <c r="E1" s="8"/>
      <c r="F1" s="8"/>
      <c r="G1" s="8"/>
      <c r="H1" s="9"/>
    </row>
    <row r="2" customFormat="false" ht="12.8" hidden="false" customHeight="false" outlineLevel="0" collapsed="false">
      <c r="A2" s="10" t="s">
        <v>1</v>
      </c>
      <c r="B2" s="11" t="s">
        <v>73</v>
      </c>
      <c r="C2" s="12" t="s">
        <v>74</v>
      </c>
      <c r="D2" s="12" t="s">
        <v>75</v>
      </c>
      <c r="E2" s="12" t="s">
        <v>76</v>
      </c>
      <c r="F2" s="12" t="s">
        <v>77</v>
      </c>
      <c r="G2" s="12" t="s">
        <v>78</v>
      </c>
      <c r="H2" s="13" t="s">
        <v>79</v>
      </c>
    </row>
    <row r="3" customFormat="false" ht="12.8" hidden="false" customHeight="false" outlineLevel="0" collapsed="false">
      <c r="A3" s="14" t="s">
        <v>14</v>
      </c>
      <c r="B3" s="15" t="n">
        <v>0</v>
      </c>
      <c r="C3" s="16" t="n">
        <v>6</v>
      </c>
      <c r="D3" s="16" t="n">
        <v>104</v>
      </c>
      <c r="E3" s="16" t="n">
        <v>70</v>
      </c>
      <c r="F3" s="16" t="n">
        <v>122</v>
      </c>
      <c r="G3" s="16" t="n">
        <v>32</v>
      </c>
      <c r="H3" s="17" t="n">
        <v>328</v>
      </c>
    </row>
    <row r="4" customFormat="false" ht="12.8" hidden="false" customHeight="false" outlineLevel="0" collapsed="false">
      <c r="A4" s="18" t="s">
        <v>32</v>
      </c>
      <c r="B4" s="19" t="n">
        <v>6</v>
      </c>
      <c r="C4" s="20" t="n">
        <v>26</v>
      </c>
      <c r="D4" s="20" t="n">
        <v>394</v>
      </c>
      <c r="E4" s="20" t="n">
        <v>200</v>
      </c>
      <c r="F4" s="20" t="n">
        <v>208</v>
      </c>
      <c r="G4" s="20" t="n">
        <v>50</v>
      </c>
      <c r="H4" s="21" t="n">
        <v>852</v>
      </c>
    </row>
    <row r="5" customFormat="false" ht="12.8" hidden="false" customHeight="false" outlineLevel="0" collapsed="false">
      <c r="A5" s="18" t="s">
        <v>54</v>
      </c>
      <c r="B5" s="22" t="n">
        <v>26</v>
      </c>
      <c r="C5" s="23" t="n">
        <v>36</v>
      </c>
      <c r="D5" s="23" t="n">
        <v>437</v>
      </c>
      <c r="E5" s="23" t="n">
        <v>0</v>
      </c>
      <c r="F5" s="23" t="n">
        <v>182</v>
      </c>
      <c r="G5" s="23" t="n">
        <v>81</v>
      </c>
      <c r="H5" s="24" t="n">
        <v>700</v>
      </c>
    </row>
    <row r="6" customFormat="false" ht="12.8" hidden="false" customHeight="false" outlineLevel="0" collapsed="false">
      <c r="A6" s="25" t="s">
        <v>80</v>
      </c>
      <c r="B6" s="26" t="n">
        <v>0</v>
      </c>
      <c r="C6" s="27" t="n">
        <v>36</v>
      </c>
      <c r="D6" s="27" t="n">
        <v>935</v>
      </c>
      <c r="E6" s="27" t="n">
        <v>270</v>
      </c>
      <c r="F6" s="27" t="n">
        <v>512</v>
      </c>
      <c r="G6" s="27" t="n">
        <v>163</v>
      </c>
      <c r="H6" s="28" t="n">
        <v>1880</v>
      </c>
    </row>
    <row r="10" customFormat="false" ht="12.8" hidden="false" customHeight="false" outlineLevel="0" collapsed="false">
      <c r="A10" s="0" t="s">
        <v>1</v>
      </c>
      <c r="B10" s="0" t="s">
        <v>81</v>
      </c>
    </row>
    <row r="11" customFormat="false" ht="12.8" hidden="false" customHeight="false" outlineLevel="0" collapsed="false">
      <c r="A11" s="0" t="str">
        <f aca="false">A3</f>
        <v>Fase_0</v>
      </c>
      <c r="B11" s="0" t="n">
        <f aca="false">C3-B3</f>
        <v>6</v>
      </c>
    </row>
    <row r="12" customFormat="false" ht="12.8" hidden="false" customHeight="false" outlineLevel="0" collapsed="false">
      <c r="A12" s="0" t="str">
        <f aca="false">A4</f>
        <v>Fase_1</v>
      </c>
      <c r="B12" s="0" t="n">
        <f aca="false">C4-B4</f>
        <v>20</v>
      </c>
    </row>
    <row r="13" customFormat="false" ht="12.8" hidden="false" customHeight="false" outlineLevel="0" collapsed="false">
      <c r="A13" s="0" t="str">
        <f aca="false">A5</f>
        <v>Fase_2</v>
      </c>
      <c r="B13" s="0" t="n">
        <f aca="false">C5-B5</f>
        <v>10</v>
      </c>
    </row>
    <row r="14" customFormat="false" ht="12.8" hidden="false" customHeight="false" outlineLevel="0" collapsed="false">
      <c r="A14" s="0" t="s">
        <v>80</v>
      </c>
      <c r="B14" s="0" t="n">
        <f aca="false">C6-B6</f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2025-11-12T11:01:16Z</dcterms:modified>
  <cp:revision>3</cp:revision>
  <dc:subject/>
  <dc:title/>
</cp:coreProperties>
</file>